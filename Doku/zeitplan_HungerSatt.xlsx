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tlsaalfelden322-my.sharepoint.com/personal/johannes_ellmer_htl-saalfelden_at/Documents/Dokumente/GitHub/Diplomarbeit_Bestellapp/Doku/"/>
    </mc:Choice>
  </mc:AlternateContent>
  <xr:revisionPtr revIDLastSave="164" documentId="8_{3460CF72-AC89-4CED-8824-3C5C9549F2EB}" xr6:coauthVersionLast="47" xr6:coauthVersionMax="47" xr10:uidLastSave="{E0100F7D-0C2B-4334-93A9-90354C55CB88}"/>
  <bookViews>
    <workbookView xWindow="-98" yWindow="-98" windowWidth="24196" windowHeight="14476" xr2:uid="{72F4632B-4B3C-4A8B-9C92-C659B892C97E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50" i="1" s="1"/>
  <c r="E25" i="1"/>
  <c r="D25" i="1"/>
  <c r="E44" i="1"/>
  <c r="D44" i="1"/>
  <c r="E40" i="1"/>
  <c r="D40" i="1"/>
  <c r="D34" i="1"/>
  <c r="D27" i="1"/>
  <c r="E28" i="1"/>
  <c r="E27" i="1" s="1"/>
  <c r="D50" i="1" l="1"/>
</calcChain>
</file>

<file path=xl/sharedStrings.xml><?xml version="1.0" encoding="utf-8"?>
<sst xmlns="http://schemas.openxmlformats.org/spreadsheetml/2006/main" count="44" uniqueCount="44">
  <si>
    <t>HungerSatt Online-Bestellservice</t>
  </si>
  <si>
    <t>Aufgabe</t>
  </si>
  <si>
    <t>Dauer in Stunden</t>
  </si>
  <si>
    <t>Ellmer</t>
  </si>
  <si>
    <t>Magos</t>
  </si>
  <si>
    <t>Sep</t>
  </si>
  <si>
    <t>Oct</t>
  </si>
  <si>
    <t>Nov</t>
  </si>
  <si>
    <t>Dec</t>
  </si>
  <si>
    <t>Jän</t>
  </si>
  <si>
    <t>Feb</t>
  </si>
  <si>
    <t>Mar</t>
  </si>
  <si>
    <t>Planung und Konzeption</t>
  </si>
  <si>
    <t>Planung Abschluss</t>
  </si>
  <si>
    <t>Anforderungen mit Markus besprechen</t>
  </si>
  <si>
    <t>Pflichtenheft erstellen und Präsentation</t>
  </si>
  <si>
    <t>Recherche zu Technologien</t>
  </si>
  <si>
    <t>Entwicklung des Frontends</t>
  </si>
  <si>
    <t>Implementierung Menüpage</t>
  </si>
  <si>
    <t>Erstellung des Warenkorbs</t>
  </si>
  <si>
    <t>Entwicklung des Guthabensystems</t>
  </si>
  <si>
    <t>Implementierung des Verwaltungssystems</t>
  </si>
  <si>
    <t>Aufbau der Frontendservices</t>
  </si>
  <si>
    <t>API Schnittstelle - Frontendbridge</t>
  </si>
  <si>
    <t>Multiservice-Architektur</t>
  </si>
  <si>
    <t>Datenbank aufsetzen</t>
  </si>
  <si>
    <t>Datenbank Bridge</t>
  </si>
  <si>
    <t>Entwicklung des Backends</t>
  </si>
  <si>
    <t>Integration von Keycloak</t>
  </si>
  <si>
    <t>Rollen und Benutzerverwaltung</t>
  </si>
  <si>
    <t>Implementation der Zugriffsverwaltung</t>
  </si>
  <si>
    <t>Hosting</t>
  </si>
  <si>
    <t>Backend und DB hosten</t>
  </si>
  <si>
    <t>Abschluss</t>
  </si>
  <si>
    <t>Dokumentation</t>
  </si>
  <si>
    <t>Summe</t>
  </si>
  <si>
    <t>Dashboard</t>
  </si>
  <si>
    <t>Datenschutz und Datensicherheit</t>
  </si>
  <si>
    <t>Testing und Demolauf</t>
  </si>
  <si>
    <t>Puffer</t>
  </si>
  <si>
    <t>Hosting des Frontend</t>
  </si>
  <si>
    <t>Hosting Planen</t>
  </si>
  <si>
    <t>Geändertes Ziel / fällt weg</t>
  </si>
  <si>
    <t>Offen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</si>
</sst>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5"/>
      <color theme="1"/>
      <name val="Segoe UI"/>
      <family val="2"/>
    </font>
    <font>
      <sz val="8"/>
      <name val="Aptos Narrow"/>
      <family val="2"/>
      <scheme val="minor"/>
    </font>
    <font>
      <sz val="11"/>
      <color theme="5" tint="0.3999755851924192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3" tint="0.499984740745262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30">
    <border>
      <left/>
      <right/>
      <top/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2" borderId="0" xfId="0" applyFill="1"/>
    <xf numFmtId="0" fontId="4" fillId="3" borderId="0" xfId="0" applyFont="1" applyFill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3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7" xfId="0" applyBorder="1"/>
    <xf numFmtId="0" fontId="0" fillId="3" borderId="5" xfId="0" applyFill="1" applyBorder="1"/>
    <xf numFmtId="0" fontId="0" fillId="3" borderId="10" xfId="0" applyFill="1" applyBorder="1"/>
    <xf numFmtId="0" fontId="4" fillId="3" borderId="6" xfId="0" applyFont="1" applyFill="1" applyBorder="1"/>
    <xf numFmtId="0" fontId="0" fillId="3" borderId="6" xfId="0" applyFill="1" applyBorder="1"/>
    <xf numFmtId="0" fontId="0" fillId="0" borderId="17" xfId="0" applyBorder="1"/>
    <xf numFmtId="0" fontId="0" fillId="0" borderId="18" xfId="0" applyBorder="1"/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4" borderId="0" xfId="0" applyFill="1"/>
    <xf numFmtId="0" fontId="0" fillId="4" borderId="3" xfId="0" applyFill="1" applyBorder="1"/>
    <xf numFmtId="0" fontId="0" fillId="0" borderId="23" xfId="0" applyBorder="1"/>
    <xf numFmtId="0" fontId="0" fillId="0" borderId="25" xfId="0" applyBorder="1"/>
    <xf numFmtId="0" fontId="0" fillId="0" borderId="28" xfId="0" applyBorder="1"/>
    <xf numFmtId="0" fontId="0" fillId="0" borderId="29" xfId="0" applyBorder="1"/>
    <xf numFmtId="0" fontId="1" fillId="0" borderId="26" xfId="0" applyFont="1" applyBorder="1"/>
    <xf numFmtId="0" fontId="1" fillId="0" borderId="27" xfId="0" applyFont="1" applyBorder="1"/>
    <xf numFmtId="0" fontId="0" fillId="5" borderId="0" xfId="0" applyFill="1"/>
    <xf numFmtId="0" fontId="5" fillId="4" borderId="0" xfId="0" applyFont="1" applyFill="1"/>
    <xf numFmtId="0" fontId="0" fillId="6" borderId="0" xfId="0" applyFill="1"/>
    <xf numFmtId="0" fontId="6" fillId="4" borderId="0" xfId="0" applyFont="1" applyFill="1"/>
    <xf numFmtId="0" fontId="1" fillId="3" borderId="0" xfId="0" applyFont="1" applyFill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2" borderId="22" xfId="0" applyFont="1" applyFill="1" applyBorder="1" applyAlignment="1">
      <alignment horizontal="center"/>
    </xf>
    <xf numFmtId="0" fontId="1" fillId="2" borderId="23" xfId="0" applyFont="1" applyFill="1" applyBorder="1" applyAlignment="1">
      <alignment horizontal="center"/>
    </xf>
    <xf numFmtId="0" fontId="1" fillId="2" borderId="24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1" fillId="3" borderId="5" xfId="0" applyFont="1" applyFill="1" applyBorder="1" applyAlignment="1">
      <alignment horizontal="left"/>
    </xf>
    <xf numFmtId="0" fontId="1" fillId="3" borderId="6" xfId="0" applyFont="1" applyFill="1" applyBorder="1" applyAlignment="1">
      <alignment horizontal="left"/>
    </xf>
    <xf numFmtId="0" fontId="1" fillId="3" borderId="10" xfId="0" applyFont="1" applyFill="1" applyBorder="1" applyAlignment="1">
      <alignment horizontal="left"/>
    </xf>
    <xf numFmtId="0" fontId="1" fillId="3" borderId="5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0" fontId="1" fillId="3" borderId="10" xfId="0" applyFont="1" applyFill="1" applyBorder="1" applyAlignment="1">
      <alignment horizontal="center"/>
    </xf>
    <xf numFmtId="0" fontId="1" fillId="3" borderId="0" xfId="0" applyFont="1" applyFill="1" applyAlignment="1">
      <alignment horizontal="left"/>
    </xf>
    <xf numFmtId="0" fontId="1" fillId="3" borderId="2" xfId="0" applyFont="1" applyFill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6" xfId="0" applyBorder="1" applyAlignment="1">
      <alignment horizontal="center"/>
    </xf>
    <xf numFmtId="0" fontId="0" fillId="0" borderId="10" xfId="0" applyBorder="1" applyAlignment="1">
      <alignment horizontal="center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52388</xdr:colOff>
      <xdr:row>0</xdr:row>
      <xdr:rowOff>138112</xdr:rowOff>
    </xdr:from>
    <xdr:to>
      <xdr:col>22</xdr:col>
      <xdr:colOff>185738</xdr:colOff>
      <xdr:row>18</xdr:row>
      <xdr:rowOff>80962</xdr:rowOff>
    </xdr:to>
    <xdr:pic>
      <xdr:nvPicPr>
        <xdr:cNvPr id="2" name="Grafik 1" descr="image">
          <a:extLst>
            <a:ext uri="{FF2B5EF4-FFF2-40B4-BE49-F238E27FC236}">
              <a16:creationId xmlns:a16="http://schemas.microsoft.com/office/drawing/2014/main" id="{4619F935-0706-ECD6-6FB0-4AAAC6C33F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88" y="138112"/>
          <a:ext cx="7620000" cy="32004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DED61-2A9A-40C9-A51B-4495B2B330E0}">
  <dimension ref="A1:AI51"/>
  <sheetViews>
    <sheetView tabSelected="1" topLeftCell="A19" workbookViewId="0">
      <selection activeCell="AI34" sqref="AI34"/>
    </sheetView>
  </sheetViews>
  <sheetFormatPr baseColWidth="10" defaultRowHeight="14.25" x14ac:dyDescent="0.45"/>
  <cols>
    <col min="3" max="3" width="12.265625" customWidth="1"/>
    <col min="6" max="34" width="3" customWidth="1"/>
  </cols>
  <sheetData>
    <row r="1" spans="1:1" x14ac:dyDescent="0.45">
      <c r="A1" s="2"/>
    </row>
    <row r="2" spans="1:1" x14ac:dyDescent="0.45">
      <c r="A2" s="1"/>
    </row>
    <row r="3" spans="1:1" x14ac:dyDescent="0.45">
      <c r="A3" s="1"/>
    </row>
    <row r="19" spans="1:34" ht="14.65" thickBot="1" x14ac:dyDescent="0.5"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</row>
    <row r="20" spans="1:34" ht="15" thickTop="1" thickBot="1" x14ac:dyDescent="0.5">
      <c r="A20" s="63" t="s">
        <v>0</v>
      </c>
      <c r="B20" s="63"/>
      <c r="C20" s="64"/>
      <c r="D20" s="68" t="s">
        <v>2</v>
      </c>
      <c r="E20" s="69"/>
      <c r="F20" s="68" t="s">
        <v>5</v>
      </c>
      <c r="G20" s="61"/>
      <c r="H20" s="61"/>
      <c r="I20" s="61" t="s">
        <v>6</v>
      </c>
      <c r="J20" s="61"/>
      <c r="K20" s="61"/>
      <c r="L20" s="61"/>
      <c r="M20" s="61"/>
      <c r="N20" s="61" t="s">
        <v>7</v>
      </c>
      <c r="O20" s="61"/>
      <c r="P20" s="61"/>
      <c r="Q20" s="61"/>
      <c r="R20" s="61" t="s">
        <v>8</v>
      </c>
      <c r="S20" s="61"/>
      <c r="T20" s="61"/>
      <c r="U20" s="61"/>
      <c r="V20" s="61" t="s">
        <v>9</v>
      </c>
      <c r="W20" s="61"/>
      <c r="X20" s="61"/>
      <c r="Y20" s="61"/>
      <c r="Z20" s="61" t="s">
        <v>10</v>
      </c>
      <c r="AA20" s="61"/>
      <c r="AB20" s="61"/>
      <c r="AC20" s="61"/>
      <c r="AD20" s="62"/>
      <c r="AE20" s="57" t="s">
        <v>11</v>
      </c>
      <c r="AF20" s="57"/>
      <c r="AG20" s="57"/>
      <c r="AH20" s="58"/>
    </row>
    <row r="21" spans="1:34" ht="15" thickTop="1" thickBot="1" x14ac:dyDescent="0.5">
      <c r="A21" s="65" t="s">
        <v>1</v>
      </c>
      <c r="B21" s="66"/>
      <c r="C21" s="67"/>
      <c r="D21" s="22" t="s">
        <v>3</v>
      </c>
      <c r="E21" s="23" t="s">
        <v>4</v>
      </c>
      <c r="F21" s="24">
        <v>37</v>
      </c>
      <c r="G21" s="25">
        <v>38</v>
      </c>
      <c r="H21" s="25">
        <v>39</v>
      </c>
      <c r="I21" s="25">
        <v>40</v>
      </c>
      <c r="J21" s="25">
        <v>41</v>
      </c>
      <c r="K21" s="25">
        <v>42</v>
      </c>
      <c r="L21" s="25">
        <v>43</v>
      </c>
      <c r="M21" s="25">
        <v>44</v>
      </c>
      <c r="N21" s="25">
        <v>45</v>
      </c>
      <c r="O21" s="25">
        <v>46</v>
      </c>
      <c r="P21" s="25">
        <v>47</v>
      </c>
      <c r="Q21" s="25">
        <v>48</v>
      </c>
      <c r="R21" s="25">
        <v>49</v>
      </c>
      <c r="S21" s="25">
        <v>50</v>
      </c>
      <c r="T21" s="25">
        <v>51</v>
      </c>
      <c r="U21" s="25">
        <v>52</v>
      </c>
      <c r="V21" s="25">
        <v>1</v>
      </c>
      <c r="W21" s="25">
        <v>2</v>
      </c>
      <c r="X21" s="25">
        <v>3</v>
      </c>
      <c r="Y21" s="25">
        <v>4</v>
      </c>
      <c r="Z21" s="25">
        <v>5</v>
      </c>
      <c r="AA21" s="25">
        <v>6</v>
      </c>
      <c r="AB21" s="25">
        <v>7</v>
      </c>
      <c r="AC21" s="25">
        <v>8</v>
      </c>
      <c r="AD21" s="26">
        <v>9</v>
      </c>
      <c r="AE21" s="27">
        <v>10</v>
      </c>
      <c r="AF21" s="27">
        <v>11</v>
      </c>
      <c r="AG21" s="27">
        <v>12</v>
      </c>
      <c r="AH21" s="28">
        <v>13</v>
      </c>
    </row>
    <row r="22" spans="1:34" ht="14.65" thickTop="1" x14ac:dyDescent="0.45">
      <c r="A22" s="46" t="s">
        <v>14</v>
      </c>
      <c r="B22" s="46"/>
      <c r="C22" s="46"/>
      <c r="D22" s="7">
        <v>2</v>
      </c>
      <c r="E22" s="8">
        <v>2</v>
      </c>
      <c r="F22" s="29"/>
      <c r="G22" s="29"/>
      <c r="AH22" s="8"/>
    </row>
    <row r="23" spans="1:34" x14ac:dyDescent="0.45">
      <c r="A23" s="46" t="s">
        <v>15</v>
      </c>
      <c r="B23" s="46"/>
      <c r="C23" s="46"/>
      <c r="D23" s="7">
        <v>10</v>
      </c>
      <c r="E23" s="8">
        <v>10</v>
      </c>
      <c r="F23" s="29"/>
      <c r="G23" s="29"/>
      <c r="H23" s="29"/>
      <c r="AH23" s="8"/>
    </row>
    <row r="24" spans="1:34" x14ac:dyDescent="0.45">
      <c r="A24" s="46" t="s">
        <v>12</v>
      </c>
      <c r="B24" s="46"/>
      <c r="C24" s="46"/>
      <c r="D24" s="7">
        <v>5</v>
      </c>
      <c r="E24" s="8">
        <v>5</v>
      </c>
      <c r="H24" s="29"/>
      <c r="AH24" s="8"/>
    </row>
    <row r="25" spans="1:34" ht="14.65" thickBot="1" x14ac:dyDescent="0.5">
      <c r="A25" s="59" t="s">
        <v>13</v>
      </c>
      <c r="B25" s="59"/>
      <c r="C25" s="60"/>
      <c r="D25" s="15">
        <f>SUM(D22:D24)</f>
        <v>17</v>
      </c>
      <c r="E25" s="16">
        <f>SUM(E22:E24)</f>
        <v>17</v>
      </c>
      <c r="F25" s="9"/>
      <c r="G25" s="9"/>
      <c r="H25" s="30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10"/>
    </row>
    <row r="26" spans="1:34" ht="14.65" thickTop="1" x14ac:dyDescent="0.45">
      <c r="A26" s="3" t="s">
        <v>16</v>
      </c>
      <c r="B26" s="3"/>
      <c r="C26" s="11"/>
      <c r="D26">
        <v>10</v>
      </c>
      <c r="E26" s="8">
        <v>10</v>
      </c>
      <c r="I26" s="37"/>
      <c r="L26" s="37"/>
      <c r="M26" s="37"/>
      <c r="N26" s="38"/>
      <c r="O26" s="38"/>
      <c r="AH26" s="8"/>
    </row>
    <row r="27" spans="1:34" x14ac:dyDescent="0.45">
      <c r="A27" s="54" t="s">
        <v>17</v>
      </c>
      <c r="B27" s="54"/>
      <c r="C27" s="55"/>
      <c r="D27" s="4">
        <f>SUM(D28:D33)</f>
        <v>41</v>
      </c>
      <c r="E27" s="14">
        <f>SUM(E28:E33)</f>
        <v>42</v>
      </c>
      <c r="I27" s="29"/>
      <c r="AH27" s="8"/>
    </row>
    <row r="28" spans="1:34" x14ac:dyDescent="0.45">
      <c r="A28" s="46" t="s">
        <v>18</v>
      </c>
      <c r="B28" s="46"/>
      <c r="C28" s="47"/>
      <c r="D28">
        <v>9</v>
      </c>
      <c r="E28" s="8">
        <f>-E2</f>
        <v>0</v>
      </c>
      <c r="H28" s="29"/>
      <c r="Z28" s="4"/>
      <c r="AA28" t="s">
        <v>39</v>
      </c>
      <c r="AH28" s="8"/>
    </row>
    <row r="29" spans="1:34" x14ac:dyDescent="0.45">
      <c r="A29" s="46" t="s">
        <v>19</v>
      </c>
      <c r="B29" s="46"/>
      <c r="C29" s="46"/>
      <c r="D29" s="7">
        <v>8</v>
      </c>
      <c r="E29" s="8">
        <v>0</v>
      </c>
      <c r="I29" s="29"/>
      <c r="AH29" s="8"/>
    </row>
    <row r="30" spans="1:34" x14ac:dyDescent="0.45">
      <c r="A30" s="46" t="s">
        <v>36</v>
      </c>
      <c r="B30" s="46"/>
      <c r="C30" s="47"/>
      <c r="D30">
        <v>10</v>
      </c>
      <c r="E30" s="8">
        <v>7</v>
      </c>
      <c r="J30" s="29"/>
      <c r="K30" s="29"/>
      <c r="Z30" s="39"/>
      <c r="AA30" t="s">
        <v>42</v>
      </c>
      <c r="AH30" s="8"/>
    </row>
    <row r="31" spans="1:34" x14ac:dyDescent="0.45">
      <c r="A31" s="46" t="s">
        <v>20</v>
      </c>
      <c r="B31" s="46"/>
      <c r="C31" s="46"/>
      <c r="D31" s="7">
        <v>10</v>
      </c>
      <c r="E31" s="8">
        <v>2</v>
      </c>
      <c r="I31" s="29"/>
      <c r="J31" s="29"/>
      <c r="K31" s="29"/>
      <c r="AH31" s="8"/>
    </row>
    <row r="32" spans="1:34" x14ac:dyDescent="0.45">
      <c r="A32" s="46" t="s">
        <v>21</v>
      </c>
      <c r="B32" s="46"/>
      <c r="C32" s="46"/>
      <c r="D32" s="7">
        <v>0</v>
      </c>
      <c r="E32" s="8">
        <v>25</v>
      </c>
      <c r="J32" s="37"/>
      <c r="K32" s="29"/>
      <c r="L32" s="29"/>
      <c r="M32" s="29"/>
      <c r="Z32" s="5"/>
      <c r="AA32" t="s">
        <v>43</v>
      </c>
      <c r="AH32" s="8"/>
    </row>
    <row r="33" spans="1:35" ht="14.65" thickBot="1" x14ac:dyDescent="0.5">
      <c r="A33" s="56" t="s">
        <v>22</v>
      </c>
      <c r="B33" s="56"/>
      <c r="C33" s="56"/>
      <c r="D33" s="17">
        <v>4</v>
      </c>
      <c r="E33" s="10">
        <v>8</v>
      </c>
      <c r="F33" s="9"/>
      <c r="G33" s="9"/>
      <c r="H33" s="9"/>
      <c r="I33" s="9"/>
      <c r="J33" s="9"/>
      <c r="K33" s="9"/>
      <c r="L33" s="30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10"/>
    </row>
    <row r="34" spans="1:35" ht="14.65" thickTop="1" x14ac:dyDescent="0.45">
      <c r="A34" s="54" t="s">
        <v>27</v>
      </c>
      <c r="B34" s="54"/>
      <c r="C34" s="55"/>
      <c r="D34" s="4">
        <f>SUM(D35:D39)</f>
        <v>30</v>
      </c>
      <c r="E34" s="14">
        <f>SUM(E35:E39)</f>
        <v>32</v>
      </c>
      <c r="M34" s="6"/>
      <c r="AH34" s="8"/>
    </row>
    <row r="35" spans="1:35" x14ac:dyDescent="0.45">
      <c r="A35" s="46" t="s">
        <v>23</v>
      </c>
      <c r="B35" s="46"/>
      <c r="C35" s="46"/>
      <c r="D35" s="7">
        <v>0</v>
      </c>
      <c r="E35" s="8">
        <v>10</v>
      </c>
      <c r="N35" s="29"/>
      <c r="O35" s="29"/>
      <c r="AH35" s="8"/>
    </row>
    <row r="36" spans="1:35" x14ac:dyDescent="0.45">
      <c r="A36" s="46" t="s">
        <v>24</v>
      </c>
      <c r="B36" s="46"/>
      <c r="C36" s="47"/>
      <c r="D36">
        <v>0</v>
      </c>
      <c r="E36" s="8">
        <v>15</v>
      </c>
      <c r="O36" s="29"/>
      <c r="P36" s="29"/>
      <c r="Q36" s="29"/>
      <c r="AH36" s="8"/>
    </row>
    <row r="37" spans="1:35" x14ac:dyDescent="0.45">
      <c r="A37" s="46" t="s">
        <v>41</v>
      </c>
      <c r="B37" s="46"/>
      <c r="C37" s="47"/>
      <c r="D37">
        <v>15</v>
      </c>
      <c r="E37" s="8">
        <v>5</v>
      </c>
      <c r="N37" s="29"/>
      <c r="O37" s="29"/>
      <c r="P37" s="29"/>
      <c r="AH37" s="8"/>
    </row>
    <row r="38" spans="1:35" x14ac:dyDescent="0.45">
      <c r="A38" s="46" t="s">
        <v>25</v>
      </c>
      <c r="B38" s="46"/>
      <c r="C38" s="47"/>
      <c r="D38">
        <v>10</v>
      </c>
      <c r="E38" s="8">
        <v>1</v>
      </c>
      <c r="O38" s="29"/>
      <c r="P38" s="29"/>
      <c r="Q38" s="29"/>
      <c r="R38" s="40"/>
      <c r="AH38" s="8"/>
    </row>
    <row r="39" spans="1:35" ht="14.65" thickBot="1" x14ac:dyDescent="0.5">
      <c r="A39" s="46" t="s">
        <v>26</v>
      </c>
      <c r="B39" s="46"/>
      <c r="C39" s="47"/>
      <c r="D39">
        <v>5</v>
      </c>
      <c r="E39" s="8">
        <v>1</v>
      </c>
      <c r="O39" s="29"/>
      <c r="AE39" s="9"/>
      <c r="AF39" s="9"/>
      <c r="AG39" s="9"/>
      <c r="AH39" s="10"/>
    </row>
    <row r="40" spans="1:35" ht="14.65" thickTop="1" x14ac:dyDescent="0.45">
      <c r="A40" s="48" t="s">
        <v>29</v>
      </c>
      <c r="B40" s="49"/>
      <c r="C40" s="50"/>
      <c r="D40" s="18">
        <f>SUM(D41:D43)</f>
        <v>38</v>
      </c>
      <c r="E40" s="19">
        <f>SUM(E41:E43)</f>
        <v>26</v>
      </c>
      <c r="F40" s="12"/>
      <c r="G40" s="13"/>
      <c r="H40" s="13"/>
      <c r="I40" s="13"/>
      <c r="J40" s="13"/>
      <c r="K40" s="13"/>
      <c r="L40" s="13"/>
      <c r="M40" s="13"/>
      <c r="N40" s="13"/>
      <c r="O40" s="13"/>
      <c r="P40" s="20"/>
      <c r="Q40" s="21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H40" s="8"/>
    </row>
    <row r="41" spans="1:35" x14ac:dyDescent="0.45">
      <c r="A41" t="s">
        <v>28</v>
      </c>
      <c r="C41" s="8"/>
      <c r="D41" s="7">
        <v>8</v>
      </c>
      <c r="E41" s="8">
        <v>6</v>
      </c>
      <c r="R41" s="39"/>
      <c r="AH41" s="8"/>
    </row>
    <row r="42" spans="1:35" x14ac:dyDescent="0.45">
      <c r="A42" t="s">
        <v>37</v>
      </c>
      <c r="C42" s="8"/>
      <c r="D42">
        <v>15</v>
      </c>
      <c r="E42" s="8">
        <v>10</v>
      </c>
      <c r="S42" s="39"/>
      <c r="AH42" s="8"/>
    </row>
    <row r="43" spans="1:35" ht="14.65" thickBot="1" x14ac:dyDescent="0.5">
      <c r="A43" t="s">
        <v>30</v>
      </c>
      <c r="C43" s="8"/>
      <c r="D43">
        <v>15</v>
      </c>
      <c r="E43" s="8">
        <v>10</v>
      </c>
      <c r="S43" s="39"/>
      <c r="T43" s="39"/>
      <c r="AE43" s="9"/>
      <c r="AF43" s="9"/>
      <c r="AG43" s="9"/>
      <c r="AH43" s="9"/>
      <c r="AI43" s="7"/>
    </row>
    <row r="44" spans="1:35" ht="14.65" thickTop="1" x14ac:dyDescent="0.45">
      <c r="A44" s="51" t="s">
        <v>31</v>
      </c>
      <c r="B44" s="52"/>
      <c r="C44" s="53"/>
      <c r="D44" s="18">
        <f>SUM(D45:D46)</f>
        <v>15</v>
      </c>
      <c r="E44" s="19">
        <f>SUM(E45:E46)</f>
        <v>11</v>
      </c>
      <c r="F44" s="12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20"/>
      <c r="V44" s="21"/>
      <c r="W44" s="13"/>
      <c r="X44" s="13"/>
      <c r="Y44" s="13"/>
      <c r="Z44" s="13"/>
      <c r="AA44" s="13"/>
      <c r="AB44" s="13"/>
      <c r="AC44" s="13"/>
      <c r="AD44" s="13"/>
      <c r="AH44" s="8"/>
    </row>
    <row r="45" spans="1:35" x14ac:dyDescent="0.45">
      <c r="A45" t="s">
        <v>40</v>
      </c>
      <c r="C45" s="8"/>
      <c r="D45" s="7">
        <v>3</v>
      </c>
      <c r="E45" s="8">
        <v>4</v>
      </c>
      <c r="F45" s="7"/>
      <c r="V45" s="39"/>
      <c r="W45" s="29"/>
      <c r="X45" s="29"/>
      <c r="Y45" s="29"/>
      <c r="AH45" s="8"/>
    </row>
    <row r="46" spans="1:35" ht="14.65" thickBot="1" x14ac:dyDescent="0.5">
      <c r="A46" s="9" t="s">
        <v>32</v>
      </c>
      <c r="B46" s="9"/>
      <c r="C46" s="10"/>
      <c r="D46" s="9">
        <v>12</v>
      </c>
      <c r="E46" s="10">
        <v>7</v>
      </c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39"/>
      <c r="Y46" s="30"/>
      <c r="Z46" s="30"/>
      <c r="AA46" s="9"/>
      <c r="AB46" s="9"/>
      <c r="AC46" s="9"/>
      <c r="AD46" s="9"/>
      <c r="AE46" s="9"/>
      <c r="AF46" s="9"/>
      <c r="AG46" s="9"/>
      <c r="AH46" s="10"/>
    </row>
    <row r="47" spans="1:35" ht="14.65" thickTop="1" x14ac:dyDescent="0.45">
      <c r="A47" s="41" t="s">
        <v>33</v>
      </c>
      <c r="B47" s="41"/>
      <c r="C47" s="42"/>
      <c r="D47" s="4">
        <v>60</v>
      </c>
      <c r="E47" s="14">
        <v>65</v>
      </c>
      <c r="Y47" s="39"/>
      <c r="Z47" s="39"/>
      <c r="AH47" s="8"/>
    </row>
    <row r="48" spans="1:35" x14ac:dyDescent="0.45">
      <c r="A48" s="46" t="s">
        <v>38</v>
      </c>
      <c r="B48" s="46"/>
      <c r="C48" s="47"/>
      <c r="D48">
        <v>18</v>
      </c>
      <c r="E48" s="8">
        <v>23</v>
      </c>
      <c r="Y48" s="29"/>
      <c r="Z48" s="29"/>
      <c r="AA48" s="29"/>
      <c r="AB48" s="29"/>
      <c r="AC48" s="29"/>
      <c r="AE48" s="29"/>
      <c r="AF48" s="29"/>
      <c r="AG48" s="29"/>
      <c r="AH48" s="8"/>
    </row>
    <row r="49" spans="1:34" ht="14.65" thickBot="1" x14ac:dyDescent="0.5">
      <c r="A49" t="s">
        <v>34</v>
      </c>
      <c r="C49" s="8"/>
      <c r="D49" s="33">
        <v>40</v>
      </c>
      <c r="E49" s="34">
        <v>40</v>
      </c>
      <c r="L49" s="29"/>
      <c r="M49" s="29"/>
      <c r="N49" s="29"/>
      <c r="O49" s="29"/>
      <c r="U49" s="29"/>
      <c r="V49" s="29"/>
      <c r="AB49" s="29"/>
      <c r="AC49" s="29"/>
      <c r="AD49" s="29"/>
      <c r="AE49" s="29"/>
      <c r="AF49" s="29"/>
      <c r="AG49" s="29"/>
      <c r="AH49" s="8"/>
    </row>
    <row r="50" spans="1:34" x14ac:dyDescent="0.45">
      <c r="A50" s="43" t="s">
        <v>35</v>
      </c>
      <c r="B50" s="44"/>
      <c r="C50" s="45"/>
      <c r="D50" s="35">
        <f>D25+D26+D27+D34+D40+D44+D47</f>
        <v>211</v>
      </c>
      <c r="E50" s="36">
        <f>E25+E26+E27+E34+E40+E44+E47</f>
        <v>203</v>
      </c>
      <c r="F50" s="31"/>
      <c r="G50" s="31"/>
      <c r="H50" s="31"/>
      <c r="I50" s="31"/>
      <c r="J50" s="31"/>
      <c r="K50" s="31"/>
      <c r="L50" s="31"/>
      <c r="M50" s="31"/>
      <c r="N50" s="31"/>
      <c r="O50" s="31"/>
      <c r="P50" s="31"/>
      <c r="Q50" s="31"/>
      <c r="R50" s="31"/>
      <c r="S50" s="31"/>
      <c r="T50" s="31"/>
      <c r="U50" s="31"/>
      <c r="V50" s="31"/>
      <c r="W50" s="31"/>
      <c r="X50" s="31"/>
      <c r="Y50" s="31"/>
      <c r="Z50" s="31"/>
      <c r="AA50" s="31"/>
      <c r="AB50" s="31"/>
      <c r="AC50" s="31"/>
      <c r="AD50" s="31"/>
      <c r="AE50" s="31"/>
      <c r="AF50" s="31"/>
      <c r="AG50" s="31"/>
      <c r="AH50" s="32"/>
    </row>
    <row r="51" spans="1:34" x14ac:dyDescent="0.45">
      <c r="D51" s="7"/>
      <c r="E51" s="8"/>
    </row>
  </sheetData>
  <mergeCells count="32">
    <mergeCell ref="AE20:AH20"/>
    <mergeCell ref="A22:C22"/>
    <mergeCell ref="A23:C23"/>
    <mergeCell ref="A24:C24"/>
    <mergeCell ref="A25:C25"/>
    <mergeCell ref="R20:U20"/>
    <mergeCell ref="V20:Y20"/>
    <mergeCell ref="Z20:AD20"/>
    <mergeCell ref="A20:C20"/>
    <mergeCell ref="A21:C21"/>
    <mergeCell ref="D20:E20"/>
    <mergeCell ref="F20:H20"/>
    <mergeCell ref="I20:M20"/>
    <mergeCell ref="N20:Q20"/>
    <mergeCell ref="A27:C27"/>
    <mergeCell ref="A34:C34"/>
    <mergeCell ref="A28:C28"/>
    <mergeCell ref="A29:C29"/>
    <mergeCell ref="A31:C31"/>
    <mergeCell ref="A32:C32"/>
    <mergeCell ref="A33:C33"/>
    <mergeCell ref="A47:C47"/>
    <mergeCell ref="A50:C50"/>
    <mergeCell ref="A30:C30"/>
    <mergeCell ref="A48:C48"/>
    <mergeCell ref="A35:C35"/>
    <mergeCell ref="A36:C36"/>
    <mergeCell ref="A38:C38"/>
    <mergeCell ref="A39:C39"/>
    <mergeCell ref="A40:C40"/>
    <mergeCell ref="A44:C44"/>
    <mergeCell ref="A37:C37"/>
  </mergeCells>
  <phoneticPr fontId="3" type="noConversion"/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Ellmer Johannes</dc:creator>
  <cp:lastModifiedBy>Ellmer Johannes</cp:lastModifiedBy>
  <cp:lastPrinted>2025-09-23T10:15:21Z</cp:lastPrinted>
  <dcterms:created xsi:type="dcterms:W3CDTF">2025-09-23T07:52:31Z</dcterms:created>
  <dcterms:modified xsi:type="dcterms:W3CDTF">2026-04-02T14:24:05Z</dcterms:modified>
</cp:coreProperties>
</file>